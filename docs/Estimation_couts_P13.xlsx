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" sheetId="1" state="visible" r:id="rId1"/>
    <sheet xmlns:r="http://schemas.openxmlformats.org/officeDocument/2006/relationships" name="OPEX" sheetId="2" state="visible" r:id="rId2"/>
    <sheet xmlns:r="http://schemas.openxmlformats.org/officeDocument/2006/relationships" name="Optimis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t="inlineStr">
        <is>
          <t>Hypothèse : coût chargé développeur ≈ 500 €/jour</t>
        </is>
      </c>
    </row>
    <row r="3">
      <c r="A3" s="1" t="inlineStr">
        <is>
          <t>Poste</t>
        </is>
      </c>
      <c r="B3" s="1" t="inlineStr">
        <is>
          <t>Charge (j·h)</t>
        </is>
      </c>
      <c r="C3" s="1" t="inlineStr">
        <is>
          <t>Coût (€)</t>
        </is>
      </c>
    </row>
    <row r="4">
      <c r="A4" s="2" t="inlineStr">
        <is>
          <t>Étude de design (rapport)</t>
        </is>
      </c>
      <c r="B4" s="2" t="n">
        <v>10</v>
      </c>
      <c r="C4" s="2">
        <f>B4*500</f>
        <v/>
      </c>
    </row>
    <row r="5">
      <c r="A5" s="2" t="inlineStr">
        <is>
          <t>Développement MVP (Must + Should)</t>
        </is>
      </c>
      <c r="B5" s="2" t="n">
        <v>60</v>
      </c>
      <c r="C5" s="2">
        <f>B5*500</f>
        <v/>
      </c>
    </row>
    <row r="6">
      <c r="A6" s="2" t="inlineStr">
        <is>
          <t>Tests, intégration, déploiement, durcissement</t>
        </is>
      </c>
      <c r="B6" s="2" t="n">
        <v>10</v>
      </c>
      <c r="C6" s="2">
        <f>B6*500</f>
        <v/>
      </c>
    </row>
    <row r="7">
      <c r="A7" s="3" t="inlineStr">
        <is>
          <t>Total build</t>
        </is>
      </c>
      <c r="B7" s="2">
        <f>SUM(B4:B6)</f>
        <v/>
      </c>
      <c r="C7" s="2">
        <f>SUM(C4:C6)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6" customWidth="1" min="4" max="4"/>
  </cols>
  <sheetData>
    <row r="1">
      <c r="A1" s="1" t="inlineStr">
        <is>
          <t>Poste</t>
        </is>
      </c>
      <c r="B1" s="1" t="inlineStr">
        <is>
          <t>P1 Lancement (≈10k req/m)</t>
        </is>
      </c>
      <c r="C1" s="1" t="inlineStr">
        <is>
          <t>P2 Croissance (≈150k req/m)</t>
        </is>
      </c>
      <c r="D1" s="1" t="inlineStr">
        <is>
          <t>P3 Montée en charge (≈2M req/m)</t>
        </is>
      </c>
    </row>
    <row r="2">
      <c r="A2" s="2" t="inlineStr">
        <is>
          <t>Mistral API (LLM + embed)</t>
        </is>
      </c>
      <c r="B2" s="2" t="n">
        <v>10</v>
      </c>
      <c r="C2" s="2" t="n">
        <v>150</v>
      </c>
      <c r="D2" s="2" t="n">
        <v>2000</v>
      </c>
    </row>
    <row r="3">
      <c r="A3" s="2" t="inlineStr">
        <is>
          <t>Serverless Containers (API)</t>
        </is>
      </c>
      <c r="B3" s="2" t="n">
        <v>0</v>
      </c>
      <c r="C3" s="2" t="n">
        <v>20</v>
      </c>
      <c r="D3" s="2" t="n">
        <v>150</v>
      </c>
    </row>
    <row r="4">
      <c r="A4" s="2" t="inlineStr">
        <is>
          <t>Managed PostgreSQL (pgvector+PostGIS)</t>
        </is>
      </c>
      <c r="B4" s="2" t="n">
        <v>80</v>
      </c>
      <c r="C4" s="2" t="n">
        <v>270</v>
      </c>
      <c r="D4" s="2" t="n">
        <v>500</v>
      </c>
    </row>
    <row r="5">
      <c r="A5" s="2" t="inlineStr">
        <is>
          <t>Managed Redis</t>
        </is>
      </c>
      <c r="B5" s="2" t="n">
        <v>35</v>
      </c>
      <c r="C5" s="2" t="n">
        <v>70</v>
      </c>
      <c r="D5" s="2" t="n">
        <v>150</v>
      </c>
    </row>
    <row r="6">
      <c r="A6" s="2" t="inlineStr">
        <is>
          <t>Object Storage</t>
        </is>
      </c>
      <c r="B6" s="2" t="n">
        <v>5</v>
      </c>
      <c r="C6" s="2" t="n">
        <v>10</v>
      </c>
      <c r="D6" s="2" t="n">
        <v>30</v>
      </c>
    </row>
    <row r="7">
      <c r="A7" s="2" t="inlineStr">
        <is>
          <t>Hébergement Kestra + Langfuse</t>
        </is>
      </c>
      <c r="B7" s="2" t="n">
        <v>30</v>
      </c>
      <c r="C7" s="2" t="n">
        <v>40</v>
      </c>
      <c r="D7" s="2" t="n">
        <v>100</v>
      </c>
    </row>
    <row r="8">
      <c r="A8" s="2" t="inlineStr">
        <is>
          <t>Cockpit (observabilité)</t>
        </is>
      </c>
      <c r="B8" s="2" t="n">
        <v>0</v>
      </c>
      <c r="C8" s="2" t="n">
        <v>0</v>
      </c>
      <c r="D8" s="2" t="n">
        <v>0</v>
      </c>
    </row>
    <row r="9">
      <c r="A9" s="3" t="inlineStr">
        <is>
          <t>TOTAL OPEX / mois (€)</t>
        </is>
      </c>
      <c r="B9" s="3">
        <f>SUM(B2:B8)</f>
        <v/>
      </c>
      <c r="C9" s="3">
        <f>SUM(C2:C8)</f>
        <v/>
      </c>
      <c r="D9" s="3">
        <f>SUM(D2:D8)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4" customWidth="1" min="2" max="2"/>
    <col width="22" customWidth="1" min="3" max="3"/>
  </cols>
  <sheetData>
    <row r="1">
      <c r="A1" s="1" t="inlineStr">
        <is>
          <t>Levier</t>
        </is>
      </c>
      <c r="B1" s="1" t="inlineStr">
        <is>
          <t>Effet</t>
        </is>
      </c>
      <c r="C1" s="1" t="inlineStr">
        <is>
          <t>Quand l'activer</t>
        </is>
      </c>
    </row>
    <row r="2">
      <c r="A2" s="2" t="inlineStr">
        <is>
          <t>Cache sémantique des réponses fréquentes</t>
        </is>
      </c>
      <c r="B2" s="2" t="inlineStr">
        <is>
          <t>Coupe 20-40 % des appels LLM</t>
        </is>
      </c>
      <c r="C2" s="2" t="inlineStr">
        <is>
          <t>Dès le palier 2</t>
        </is>
      </c>
    </row>
    <row r="3">
      <c r="A3" s="2" t="inlineStr">
        <is>
          <t>Réduction du contexte (k plus petit, compression)</t>
        </is>
      </c>
      <c r="B3" s="2" t="inlineStr">
        <is>
          <t>Moins de tokens input → coût Mistral réduit</t>
        </is>
      </c>
      <c r="C3" s="2" t="inlineStr">
        <is>
          <t>Palier 2-3</t>
        </is>
      </c>
    </row>
    <row r="4">
      <c r="A4" s="2" t="inlineStr">
        <is>
          <t>Garde-fous agent (limite itérations, web conditionnel)</t>
        </is>
      </c>
      <c r="B4" s="2" t="inlineStr">
        <is>
          <t>Plafonne le coût des requêtes agentiques</t>
        </is>
      </c>
      <c r="C4" s="2" t="inlineStr">
        <is>
          <t>Dès le lancement</t>
        </is>
      </c>
    </row>
    <row r="5">
      <c r="A5" s="2" t="inlineStr">
        <is>
          <t>Réindexation incrémentale (vs complète)</t>
        </is>
      </c>
      <c r="B5" s="2" t="inlineStr">
        <is>
          <t>Réduit les coûts d'embedding</t>
        </is>
      </c>
      <c r="C5" s="2" t="inlineStr">
        <is>
          <t>Dès le lancement</t>
        </is>
      </c>
    </row>
    <row r="6">
      <c r="A6" s="2" t="inlineStr">
        <is>
          <t>Scale-to-zero des services non critiques</t>
        </is>
      </c>
      <c r="B6" s="2" t="inlineStr">
        <is>
          <t>Supprime le coût des composants inactifs</t>
        </is>
      </c>
      <c r="C6" s="2" t="inlineStr">
        <is>
          <t>Dès le lancement</t>
        </is>
      </c>
    </row>
    <row r="7">
      <c r="A7" s="2" t="inlineStr">
        <is>
          <t>Cockpit gratuit vs observabilité facturée</t>
        </is>
      </c>
      <c r="B7" s="2" t="inlineStr">
        <is>
          <t>Économie directe d'OPEX</t>
        </is>
      </c>
      <c r="C7" s="2" t="inlineStr">
        <is>
          <t>Acquis (choix Scaleway)</t>
        </is>
      </c>
    </row>
    <row r="8">
      <c r="A8" s="2" t="inlineStr">
        <is>
          <t>Modèle adapté à la tâche (small par défaut)</t>
        </is>
      </c>
      <c r="B8" s="2" t="inlineStr">
        <is>
          <t>Évite de surpayer le LLM</t>
        </is>
      </c>
      <c r="C8" s="2" t="inlineStr">
        <is>
          <t>Continu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2026-06-25T19:05:02Z</dcterms:created>
  <dcterms:modified xmlns:dcterms="http://purl.org/dc/terms/" xmlns:xsi="http://www.w3.org/2001/XMLSchema-instance" xsi:type="dcterms:W3CDTF">2026-06-25T19:05:02Z</dcterms:modified>
</cp:coreProperties>
</file>